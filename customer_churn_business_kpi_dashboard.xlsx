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Data" sheetId="2" state="visible" r:id="rId2"/>
    <sheet xmlns:r="http://schemas.openxmlformats.org/officeDocument/2006/relationships" name="ChartData" sheetId="3" state="visible" r:id="rId3"/>
    <sheet xmlns:r="http://schemas.openxmlformats.org/officeDocument/2006/relationships" name="Segments" sheetId="4" state="visible" r:id="rId4"/>
    <sheet xmlns:r="http://schemas.openxmlformats.org/officeDocument/2006/relationships" name="Recommendation Memo" sheetId="5" state="visible" r:id="rId5"/>
  </sheets>
  <definedNames>
    <definedName name="_xlnm._FilterDatabase" localSheetId="1" hidden="1">'Data'!$A$1:$O$16</definedName>
    <definedName name="_xlnm._FilterDatabase" localSheetId="3" hidden="1">'Segments'!$A$1:$J$16</definedName>
  </definedNames>
  <calcPr calcId="124519" fullCalcOnLoad="1"/>
</workbook>
</file>

<file path=xl/styles.xml><?xml version="1.0" encoding="utf-8"?>
<styleSheet xmlns="http://schemas.openxmlformats.org/spreadsheetml/2006/main">
  <numFmts count="3">
    <numFmt numFmtId="164" formatCode="0.0%"/>
    <numFmt numFmtId="165" formatCode="₹#,##0.00"/>
    <numFmt numFmtId="166" formatCode="0.0"/>
  </numFmts>
  <fonts count="8">
    <font>
      <name val="Calibri"/>
      <family val="2"/>
      <color theme="1"/>
      <sz val="11"/>
      <scheme val="minor"/>
    </font>
    <font>
      <b val="1"/>
      <color rgb="00FFFFFF"/>
      <sz val="20"/>
    </font>
    <font>
      <i val="1"/>
      <color rgb="00666666"/>
    </font>
    <font>
      <b val="1"/>
      <sz val="13"/>
    </font>
    <font>
      <b val="1"/>
    </font>
    <font>
      <b val="1"/>
      <color rgb="00FFFFFF"/>
    </font>
    <font>
      <b val="1"/>
      <sz val="18"/>
    </font>
    <font>
      <b val="1"/>
      <color rgb="00FFFFFF"/>
      <sz val="18"/>
    </font>
  </fonts>
  <fills count="5">
    <fill>
      <patternFill/>
    </fill>
    <fill>
      <patternFill patternType="gray125"/>
    </fill>
    <fill>
      <patternFill patternType="solid">
        <fgColor rgb="001F4E78"/>
      </patternFill>
    </fill>
    <fill>
      <patternFill patternType="solid">
        <fgColor rgb="00D9EAF7"/>
      </patternFill>
    </fill>
    <fill>
      <patternFill patternType="solid">
        <fgColor rgb="00F3F6F9"/>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3" borderId="0" pivotButton="0" quotePrefix="0" xfId="0"/>
    <xf numFmtId="0" fontId="5" fillId="2" borderId="0" pivotButton="0" quotePrefix="0" xfId="0"/>
    <xf numFmtId="1" fontId="6" fillId="4" borderId="0" pivotButton="0" quotePrefix="0" xfId="0"/>
    <xf numFmtId="164" fontId="6" fillId="4" borderId="0" pivotButton="0" quotePrefix="0" xfId="0"/>
    <xf numFmtId="165" fontId="6" fillId="4" borderId="0" pivotButton="0" quotePrefix="0" xfId="0"/>
    <xf numFmtId="166" fontId="6" fillId="4" borderId="0" pivotButton="0" quotePrefix="0" xfId="0"/>
    <xf numFmtId="0" fontId="0" fillId="0" borderId="0" applyAlignment="1" pivotButton="0" quotePrefix="0" xfId="0">
      <alignment vertical="top" wrapText="1"/>
    </xf>
    <xf numFmtId="0" fontId="7"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Overall Churn Distribution</a:t>
            </a:r>
          </a:p>
        </rich>
      </tx>
    </title>
    <plotArea>
      <pieChart>
        <varyColors val="1"/>
        <ser>
          <idx val="0"/>
          <order val="0"/>
          <tx>
            <strRef>
              <f>'ChartData'!B1</f>
            </strRef>
          </tx>
          <spPr>
            <a:ln xmlns:a="http://schemas.openxmlformats.org/drawingml/2006/main">
              <a:prstDash val="solid"/>
            </a:ln>
          </spPr>
          <cat>
            <numRef>
              <f>'ChartData'!$A$2:$A$3</f>
            </numRef>
          </cat>
          <val>
            <numRef>
              <f>'ChartData'!$B$2:$B$3</f>
            </numRef>
          </val>
        </ser>
        <dLbls>
          <showPercent val="1"/>
        </dLbls>
        <firstSliceAng val="0"/>
      </pieChart>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Churn Rate by Contract Type</a:t>
            </a:r>
          </a:p>
        </rich>
      </tx>
    </title>
    <plotArea>
      <barChart>
        <barDir val="bar"/>
        <grouping val="clustered"/>
        <ser>
          <idx val="0"/>
          <order val="0"/>
          <tx>
            <strRef>
              <f>'ChartData'!E1</f>
            </strRef>
          </tx>
          <spPr>
            <a:ln xmlns:a="http://schemas.openxmlformats.org/drawingml/2006/main">
              <a:prstDash val="solid"/>
            </a:ln>
          </spPr>
          <cat>
            <numRef>
              <f>'ChartData'!$D$2:$D$4</f>
            </numRef>
          </cat>
          <val>
            <numRef>
              <f>'ChartData'!$E$2:$E$4</f>
            </numRef>
          </val>
        </ser>
        <ser>
          <idx val="1"/>
          <order val="1"/>
          <tx>
            <strRef>
              <f>'ChartData'!H1</f>
            </strRef>
          </tx>
          <spPr>
            <a:ln xmlns:a="http://schemas.openxmlformats.org/drawingml/2006/main">
              <a:prstDash val="solid"/>
            </a:ln>
          </spPr>
          <val>
            <numRef>
              <f>'ChartData'!$H$2:$H$4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Churn Rate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Customers</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Customer Risk Segments</a:t>
            </a:r>
          </a:p>
        </rich>
      </tx>
    </title>
    <plotArea>
      <barChart>
        <barDir val="col"/>
        <grouping val="clustered"/>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20</row>
      <rowOff>0</rowOff>
    </from>
    <ext cx="32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20</row>
      <rowOff>0</rowOff>
    </from>
    <ext cx="39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36</row>
      <rowOff>0</rowOff>
    </from>
    <ext cx="360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24" customWidth="1" min="1" max="1"/>
    <col width="28" customWidth="1" min="2" max="2"/>
    <col width="22" customWidth="1" min="3" max="3"/>
    <col width="22" customWidth="1" min="4" max="4"/>
    <col width="18" customWidth="1" min="5" max="5"/>
    <col width="18" customWidth="1" min="6" max="6"/>
    <col width="20" customWidth="1" min="7" max="7"/>
    <col width="22" customWidth="1" min="8" max="8"/>
  </cols>
  <sheetData>
    <row r="1">
      <c r="A1" s="1" t="inlineStr">
        <is>
          <t>Customer Churn — Business KPI Dashboard</t>
        </is>
      </c>
    </row>
    <row r="2">
      <c r="A2" s="2" t="inlineStr">
        <is>
          <t>Interactive spreadsheet dashboard | Filters drive KPI cards and segment views</t>
        </is>
      </c>
    </row>
    <row r="4">
      <c r="A4" s="3" t="inlineStr">
        <is>
          <t>Filters</t>
        </is>
      </c>
    </row>
    <row r="5">
      <c r="A5" s="4" t="inlineStr">
        <is>
          <t>Contract</t>
        </is>
      </c>
      <c r="B5" s="5" t="inlineStr">
        <is>
          <t>All</t>
        </is>
      </c>
      <c r="D5" s="4" t="inlineStr">
        <is>
          <t>Tenure</t>
        </is>
      </c>
      <c r="E5" s="5" t="inlineStr">
        <is>
          <t>All</t>
        </is>
      </c>
      <c r="G5" s="4" t="inlineStr">
        <is>
          <t>Payment</t>
        </is>
      </c>
      <c r="H5" s="5" t="inlineStr">
        <is>
          <t>All</t>
        </is>
      </c>
    </row>
    <row r="8">
      <c r="A8" s="6" t="inlineStr">
        <is>
          <t>Customers</t>
        </is>
      </c>
      <c r="C8" s="6" t="inlineStr">
        <is>
          <t>Churn Rate</t>
        </is>
      </c>
      <c r="E8" s="6" t="inlineStr">
        <is>
          <t>Retention Rate</t>
        </is>
      </c>
      <c r="G8" s="6" t="inlineStr">
        <is>
          <t>Revenue at Risk / Month</t>
        </is>
      </c>
    </row>
    <row r="9">
      <c r="A9" s="7">
        <f>SUMPRODUCT(--(((Data!$H$2:$H$16=$B$5)+($B$5="All"))&gt;0)*--(((Data!$M$2:$M$16=$E$5)+($E$5="All"))&gt;0)*--(((Data!$J$2:$J$16=$H$5)+($H$5="All"))&gt;0))</f>
        <v/>
      </c>
      <c r="C9" s="8">
        <f>IFERROR(SUMPRODUCT(--(((Data!$H$2:$H$16=$B$5)+($B$5="All"))&gt;0)*--(((Data!$M$2:$M$16=$E$5)+($E$5="All"))&gt;0)*--(((Data!$J$2:$J$16=$H$5)+($H$5="All"))&gt;0)*--(Data!$K$2:$K$16="Yes"))/SUMPRODUCT(--(((Data!$H$2:$H$16=$B$5)+($B$5="All"))&gt;0)*--(((Data!$M$2:$M$16=$E$5)+($E$5="All"))&gt;0)*--(((Data!$J$2:$J$16=$H$5)+($H$5="All"))&gt;0)),0)</f>
        <v/>
      </c>
      <c r="E9" s="8">
        <f>IFERROR(SUMPRODUCT(--(((Data!$H$2:$H$16=$B$5)+($B$5="All"))&gt;0)*--(((Data!$M$2:$M$16=$E$5)+($E$5="All"))&gt;0)*--(((Data!$J$2:$J$16=$H$5)+($H$5="All"))&gt;0)*--(Data!$K$2:$K$16="No"))/SUMPRODUCT(--(((Data!$H$2:$H$16=$B$5)+($B$5="All"))&gt;0)*--(((Data!$M$2:$M$16=$E$5)+($E$5="All"))&gt;0)*--(((Data!$J$2:$J$16=$H$5)+($H$5="All"))&gt;0)),0)</f>
        <v/>
      </c>
      <c r="G9" s="9">
        <f>SUMPRODUCT(--(((Data!$H$2:$H$16=$B$5)+($B$5="All"))&gt;0)*--(((Data!$M$2:$M$16=$E$5)+($E$5="All"))&gt;0)*--(((Data!$J$2:$J$16=$H$5)+($H$5="All"))&gt;0)*Data!$L$2:$L$16)</f>
        <v/>
      </c>
    </row>
    <row r="11">
      <c r="A11" s="6" t="inlineStr">
        <is>
          <t>Avg Tenure (months)</t>
        </is>
      </c>
    </row>
    <row r="12">
      <c r="A12" s="10">
        <f>IFERROR(SUMPRODUCT(--(((Data!$H$2:$H$16=$B$5)+($B$5="All"))&gt;0)*--(((Data!$M$2:$M$16=$E$5)+($E$5="All"))&gt;0)*--(((Data!$J$2:$J$16=$H$5)+($H$5="All"))&gt;0)*Data!$D$2:$D$16)/SUMPRODUCT(--(((Data!$H$2:$H$16=$B$5)+($B$5="All"))&gt;0)*--(((Data!$M$2:$M$16=$E$5)+($E$5="All"))&gt;0)*--(((Data!$J$2:$J$16=$H$5)+($H$5="All"))&gt;0)),0)</f>
        <v/>
      </c>
    </row>
    <row r="14">
      <c r="A14" s="3" t="inlineStr">
        <is>
          <t>KPI definitions</t>
        </is>
      </c>
    </row>
    <row r="15">
      <c r="A15" s="5" t="inlineStr">
        <is>
          <t>Churn Rate</t>
        </is>
      </c>
      <c r="B15" t="inlineStr">
        <is>
          <t>Churned customers ÷ filtered customers</t>
        </is>
      </c>
    </row>
    <row r="16">
      <c r="A16" s="5" t="inlineStr">
        <is>
          <t>Retention Rate</t>
        </is>
      </c>
      <c r="B16" t="inlineStr">
        <is>
          <t>Non-churned customers ÷ filtered customers</t>
        </is>
      </c>
    </row>
    <row r="17">
      <c r="A17" s="5" t="inlineStr">
        <is>
          <t>Revenue at Risk / Month</t>
        </is>
      </c>
      <c r="B17" t="inlineStr">
        <is>
          <t>Sum of current monthly charges for churned customers</t>
        </is>
      </c>
    </row>
    <row r="18">
      <c r="A18" s="5" t="inlineStr">
        <is>
          <t>Avg Tenure</t>
        </is>
      </c>
      <c r="B18" t="inlineStr">
        <is>
          <t>Average tenure in months for filtered customers</t>
        </is>
      </c>
    </row>
    <row r="37">
      <c r="F37" s="3" t="inlineStr">
        <is>
          <t>Key insights</t>
        </is>
      </c>
    </row>
    <row r="38">
      <c r="F38" s="11" t="inlineStr">
        <is>
          <t>• Overall churn is 46.7% in this small sample.</t>
        </is>
      </c>
    </row>
    <row r="39">
      <c r="F39" s="11" t="inlineStr">
        <is>
          <t>• Month-to-month contracts show churn in every observed customer.</t>
        </is>
      </c>
    </row>
    <row r="40">
      <c r="F40" s="11" t="inlineStr">
        <is>
          <t>• High support-ticket counts coincide with several churned customers.</t>
        </is>
      </c>
    </row>
    <row r="41">
      <c r="F41" s="11" t="inlineStr">
        <is>
          <t>• Revenue at risk is defined as current monthly charges of churned customers.</t>
        </is>
      </c>
    </row>
    <row r="42">
      <c r="F42" s="11" t="inlineStr">
        <is>
          <t>• Risk scores are heuristic and should not be treated as predictive probabilities.</t>
        </is>
      </c>
    </row>
  </sheetData>
  <mergeCells count="21">
    <mergeCell ref="F42:H42"/>
    <mergeCell ref="A11:B11"/>
    <mergeCell ref="F41:H41"/>
    <mergeCell ref="B15:H15"/>
    <mergeCell ref="A1:H1"/>
    <mergeCell ref="G8:H8"/>
    <mergeCell ref="E8:F8"/>
    <mergeCell ref="F38:H38"/>
    <mergeCell ref="B16:H16"/>
    <mergeCell ref="C9:D9"/>
    <mergeCell ref="E9:F9"/>
    <mergeCell ref="F39:H39"/>
    <mergeCell ref="A12:B12"/>
    <mergeCell ref="B18:H18"/>
    <mergeCell ref="A2:H2"/>
    <mergeCell ref="A8:B8"/>
    <mergeCell ref="C8:D8"/>
    <mergeCell ref="B17:H17"/>
    <mergeCell ref="F40:H40"/>
    <mergeCell ref="A9:B9"/>
    <mergeCell ref="G9:H9"/>
  </mergeCells>
  <dataValidations count="3">
    <dataValidation sqref="B5" showDropDown="0" showInputMessage="0" showErrorMessage="0" allowBlank="0" type="list">
      <formula1>"All,Month-to-Month,One Year,Two Year"</formula1>
    </dataValidation>
    <dataValidation sqref="E5" showDropDown="0" showInputMessage="0" showErrorMessage="0" allowBlank="0" type="list">
      <formula1>"All,0-6 months,7-12 months,13-24 months,25+ months"</formula1>
    </dataValidation>
    <dataValidation sqref="H5" showDropDown="0" showInputMessage="0" showErrorMessage="0" allowBlank="0" type="list">
      <formula1>"All,Bank Transfer,Credit Card,Debit Card,UPI"</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1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6" t="inlineStr">
        <is>
          <t>CustomerID</t>
        </is>
      </c>
      <c r="B1" s="6" t="inlineStr">
        <is>
          <t>Gender</t>
        </is>
      </c>
      <c r="C1" s="6" t="inlineStr">
        <is>
          <t>Age</t>
        </is>
      </c>
      <c r="D1" s="6" t="inlineStr">
        <is>
          <t>TenureMonths</t>
        </is>
      </c>
      <c r="E1" s="6" t="inlineStr">
        <is>
          <t>SubscriptionType</t>
        </is>
      </c>
      <c r="F1" s="6" t="inlineStr">
        <is>
          <t>MonthlyCharges</t>
        </is>
      </c>
      <c r="G1" s="6" t="inlineStr">
        <is>
          <t>TotalCharges</t>
        </is>
      </c>
      <c r="H1" s="6" t="inlineStr">
        <is>
          <t>ContractType</t>
        </is>
      </c>
      <c r="I1" s="6" t="inlineStr">
        <is>
          <t>SupportTickets</t>
        </is>
      </c>
      <c r="J1" s="6" t="inlineStr">
        <is>
          <t>PaymentMethod</t>
        </is>
      </c>
      <c r="K1" s="6" t="inlineStr">
        <is>
          <t>Churn</t>
        </is>
      </c>
      <c r="L1" s="6" t="inlineStr">
        <is>
          <t>RevenueAtRisk</t>
        </is>
      </c>
      <c r="M1" s="6" t="inlineStr">
        <is>
          <t>TenureBand</t>
        </is>
      </c>
      <c r="N1" s="6" t="inlineStr">
        <is>
          <t>RiskScore</t>
        </is>
      </c>
      <c r="O1" s="6" t="inlineStr">
        <is>
          <t>RiskSegment</t>
        </is>
      </c>
    </row>
    <row r="2">
      <c r="A2" t="inlineStr">
        <is>
          <t>CUST-1001</t>
        </is>
      </c>
      <c r="B2" t="inlineStr">
        <is>
          <t>Female</t>
        </is>
      </c>
      <c r="C2" t="n">
        <v>34</v>
      </c>
      <c r="D2" t="n">
        <v>12</v>
      </c>
      <c r="E2" t="inlineStr">
        <is>
          <t>Basic</t>
        </is>
      </c>
      <c r="F2" t="n">
        <v>49.99</v>
      </c>
      <c r="G2" t="n">
        <v>599.88</v>
      </c>
      <c r="H2" t="inlineStr">
        <is>
          <t>Month-to-Month</t>
        </is>
      </c>
      <c r="I2" t="n">
        <v>3</v>
      </c>
      <c r="J2" t="inlineStr">
        <is>
          <t>Credit Card</t>
        </is>
      </c>
      <c r="K2" t="inlineStr">
        <is>
          <t>Yes</t>
        </is>
      </c>
      <c r="L2" t="n">
        <v>49.99</v>
      </c>
      <c r="M2" t="inlineStr">
        <is>
          <t>7-12 months</t>
        </is>
      </c>
      <c r="N2" t="n">
        <v>50</v>
      </c>
      <c r="O2" t="inlineStr">
        <is>
          <t>Medium Risk</t>
        </is>
      </c>
    </row>
    <row r="3">
      <c r="A3" t="inlineStr">
        <is>
          <t>CUST-1002</t>
        </is>
      </c>
      <c r="B3" t="inlineStr">
        <is>
          <t>Male</t>
        </is>
      </c>
      <c r="C3" t="n">
        <v>45</v>
      </c>
      <c r="D3" t="n">
        <v>24</v>
      </c>
      <c r="E3" t="inlineStr">
        <is>
          <t>Pro</t>
        </is>
      </c>
      <c r="F3" t="n">
        <v>79.98999999999999</v>
      </c>
      <c r="G3" t="n">
        <v>1919.76</v>
      </c>
      <c r="H3" t="inlineStr">
        <is>
          <t>One Year</t>
        </is>
      </c>
      <c r="I3" t="n">
        <v>1</v>
      </c>
      <c r="J3" t="inlineStr">
        <is>
          <t>Bank Transfer</t>
        </is>
      </c>
      <c r="K3" t="inlineStr">
        <is>
          <t>No</t>
        </is>
      </c>
      <c r="L3" t="n">
        <v>0</v>
      </c>
      <c r="M3" t="inlineStr">
        <is>
          <t>13-24 months</t>
        </is>
      </c>
      <c r="N3" t="n">
        <v>10</v>
      </c>
      <c r="O3" t="inlineStr">
        <is>
          <t>Low Risk</t>
        </is>
      </c>
    </row>
    <row r="4">
      <c r="A4" t="inlineStr">
        <is>
          <t>CUST-1003</t>
        </is>
      </c>
      <c r="B4" t="inlineStr">
        <is>
          <t>Female</t>
        </is>
      </c>
      <c r="C4" t="n">
        <v>29</v>
      </c>
      <c r="D4" t="n">
        <v>6</v>
      </c>
      <c r="E4" t="inlineStr">
        <is>
          <t>Basic</t>
        </is>
      </c>
      <c r="F4" t="n">
        <v>49.99</v>
      </c>
      <c r="G4" t="n">
        <v>299.94</v>
      </c>
      <c r="H4" t="inlineStr">
        <is>
          <t>Month-to-Month</t>
        </is>
      </c>
      <c r="I4" t="n">
        <v>5</v>
      </c>
      <c r="J4" t="inlineStr">
        <is>
          <t>UPI</t>
        </is>
      </c>
      <c r="K4" t="inlineStr">
        <is>
          <t>Yes</t>
        </is>
      </c>
      <c r="L4" t="n">
        <v>49.99</v>
      </c>
      <c r="M4" t="inlineStr">
        <is>
          <t>0-6 months</t>
        </is>
      </c>
      <c r="N4" t="n">
        <v>75</v>
      </c>
      <c r="O4" t="inlineStr">
        <is>
          <t>High Risk</t>
        </is>
      </c>
    </row>
    <row r="5">
      <c r="A5" t="inlineStr">
        <is>
          <t>CUST-1004</t>
        </is>
      </c>
      <c r="B5" t="inlineStr">
        <is>
          <t>Male</t>
        </is>
      </c>
      <c r="C5" t="n">
        <v>52</v>
      </c>
      <c r="D5" t="n">
        <v>36</v>
      </c>
      <c r="E5" t="inlineStr">
        <is>
          <t>Enterprise</t>
        </is>
      </c>
      <c r="F5" t="n">
        <v>149.99</v>
      </c>
      <c r="G5" t="n">
        <v>5399.64</v>
      </c>
      <c r="H5" t="inlineStr">
        <is>
          <t>Two Year</t>
        </is>
      </c>
      <c r="I5" t="n">
        <v>0</v>
      </c>
      <c r="J5" t="inlineStr">
        <is>
          <t>Credit Card</t>
        </is>
      </c>
      <c r="K5" t="inlineStr">
        <is>
          <t>No</t>
        </is>
      </c>
      <c r="L5" t="n">
        <v>0</v>
      </c>
      <c r="M5" t="inlineStr">
        <is>
          <t>25+ months</t>
        </is>
      </c>
      <c r="N5" t="n">
        <v>15</v>
      </c>
      <c r="O5" t="inlineStr">
        <is>
          <t>Low Risk</t>
        </is>
      </c>
    </row>
    <row r="6">
      <c r="A6" t="inlineStr">
        <is>
          <t>CUST-1005</t>
        </is>
      </c>
      <c r="B6" t="inlineStr">
        <is>
          <t>Female</t>
        </is>
      </c>
      <c r="C6" t="n">
        <v>41</v>
      </c>
      <c r="D6" t="n">
        <v>8</v>
      </c>
      <c r="E6" t="inlineStr">
        <is>
          <t>Pro</t>
        </is>
      </c>
      <c r="F6" t="n">
        <v>79.98999999999999</v>
      </c>
      <c r="G6" t="n">
        <v>639.92</v>
      </c>
      <c r="H6" t="inlineStr">
        <is>
          <t>Month-to-Month</t>
        </is>
      </c>
      <c r="I6" t="n">
        <v>4</v>
      </c>
      <c r="J6" t="inlineStr">
        <is>
          <t>Debit Card</t>
        </is>
      </c>
      <c r="K6" t="inlineStr">
        <is>
          <t>Yes</t>
        </is>
      </c>
      <c r="L6" t="n">
        <v>79.98999999999999</v>
      </c>
      <c r="M6" t="inlineStr">
        <is>
          <t>7-12 months</t>
        </is>
      </c>
      <c r="N6" t="n">
        <v>70</v>
      </c>
      <c r="O6" t="inlineStr">
        <is>
          <t>High Risk</t>
        </is>
      </c>
    </row>
    <row r="7">
      <c r="A7" t="inlineStr">
        <is>
          <t>CUST-1006</t>
        </is>
      </c>
      <c r="B7" t="inlineStr">
        <is>
          <t>Male</t>
        </is>
      </c>
      <c r="C7" t="n">
        <v>31</v>
      </c>
      <c r="D7" t="n">
        <v>18</v>
      </c>
      <c r="E7" t="inlineStr">
        <is>
          <t>Basic</t>
        </is>
      </c>
      <c r="F7" t="n">
        <v>49.99</v>
      </c>
      <c r="G7" t="n">
        <v>899.8200000000001</v>
      </c>
      <c r="H7" t="inlineStr">
        <is>
          <t>One Year</t>
        </is>
      </c>
      <c r="I7" t="n">
        <v>2</v>
      </c>
      <c r="J7" t="inlineStr">
        <is>
          <t>UPI</t>
        </is>
      </c>
      <c r="K7" t="inlineStr">
        <is>
          <t>No</t>
        </is>
      </c>
      <c r="L7" t="n">
        <v>0</v>
      </c>
      <c r="M7" t="inlineStr">
        <is>
          <t>13-24 months</t>
        </is>
      </c>
      <c r="N7" t="n">
        <v>15</v>
      </c>
      <c r="O7" t="inlineStr">
        <is>
          <t>Low Risk</t>
        </is>
      </c>
    </row>
    <row r="8">
      <c r="A8" t="inlineStr">
        <is>
          <t>CUST-1007</t>
        </is>
      </c>
      <c r="B8" t="inlineStr">
        <is>
          <t>Female</t>
        </is>
      </c>
      <c r="C8" t="n">
        <v>23</v>
      </c>
      <c r="D8" t="n">
        <v>3</v>
      </c>
      <c r="E8" t="inlineStr">
        <is>
          <t>Basic</t>
        </is>
      </c>
      <c r="F8" t="n">
        <v>49.99</v>
      </c>
      <c r="G8" t="n">
        <v>149.97</v>
      </c>
      <c r="H8" t="inlineStr">
        <is>
          <t>Month-to-Month</t>
        </is>
      </c>
      <c r="I8" t="n">
        <v>6</v>
      </c>
      <c r="J8" t="inlineStr">
        <is>
          <t>Credit Card</t>
        </is>
      </c>
      <c r="K8" t="inlineStr">
        <is>
          <t>Yes</t>
        </is>
      </c>
      <c r="L8" t="n">
        <v>49.99</v>
      </c>
      <c r="M8" t="inlineStr">
        <is>
          <t>0-6 months</t>
        </is>
      </c>
      <c r="N8" t="n">
        <v>70</v>
      </c>
      <c r="O8" t="inlineStr">
        <is>
          <t>High Risk</t>
        </is>
      </c>
    </row>
    <row r="9">
      <c r="A9" t="inlineStr">
        <is>
          <t>CUST-1008</t>
        </is>
      </c>
      <c r="B9" t="inlineStr">
        <is>
          <t>Male</t>
        </is>
      </c>
      <c r="C9" t="n">
        <v>60</v>
      </c>
      <c r="D9" t="n">
        <v>48</v>
      </c>
      <c r="E9" t="inlineStr">
        <is>
          <t>Enterprise</t>
        </is>
      </c>
      <c r="F9" t="n">
        <v>149.99</v>
      </c>
      <c r="G9" t="n">
        <v>7199.52</v>
      </c>
      <c r="H9" t="inlineStr">
        <is>
          <t>Two Year</t>
        </is>
      </c>
      <c r="I9" t="n">
        <v>1</v>
      </c>
      <c r="J9" t="inlineStr">
        <is>
          <t>Bank Transfer</t>
        </is>
      </c>
      <c r="K9" t="inlineStr">
        <is>
          <t>No</t>
        </is>
      </c>
      <c r="L9" t="n">
        <v>0</v>
      </c>
      <c r="M9" t="inlineStr">
        <is>
          <t>25+ months</t>
        </is>
      </c>
      <c r="N9" t="n">
        <v>15</v>
      </c>
      <c r="O9" t="inlineStr">
        <is>
          <t>Low Risk</t>
        </is>
      </c>
    </row>
    <row r="10">
      <c r="A10" t="inlineStr">
        <is>
          <t>CUST-1009</t>
        </is>
      </c>
      <c r="B10" t="inlineStr">
        <is>
          <t>Female</t>
        </is>
      </c>
      <c r="C10" t="n">
        <v>38</v>
      </c>
      <c r="D10" t="n">
        <v>15</v>
      </c>
      <c r="E10" t="inlineStr">
        <is>
          <t>Pro</t>
        </is>
      </c>
      <c r="F10" t="n">
        <v>79.98999999999999</v>
      </c>
      <c r="G10" t="n">
        <v>1199.85</v>
      </c>
      <c r="H10" t="inlineStr">
        <is>
          <t>One Year</t>
        </is>
      </c>
      <c r="I10" t="n">
        <v>2</v>
      </c>
      <c r="J10" t="inlineStr">
        <is>
          <t>Credit Card</t>
        </is>
      </c>
      <c r="K10" t="inlineStr">
        <is>
          <t>No</t>
        </is>
      </c>
      <c r="L10" t="n">
        <v>0</v>
      </c>
      <c r="M10" t="inlineStr">
        <is>
          <t>13-24 months</t>
        </is>
      </c>
      <c r="N10" t="n">
        <v>20</v>
      </c>
      <c r="O10" t="inlineStr">
        <is>
          <t>Low Risk</t>
        </is>
      </c>
    </row>
    <row r="11">
      <c r="A11" t="inlineStr">
        <is>
          <t>CUST-1010</t>
        </is>
      </c>
      <c r="B11" t="inlineStr">
        <is>
          <t>Male</t>
        </is>
      </c>
      <c r="C11" t="n">
        <v>27</v>
      </c>
      <c r="D11" t="n">
        <v>4</v>
      </c>
      <c r="E11" t="inlineStr">
        <is>
          <t>Basic</t>
        </is>
      </c>
      <c r="F11" t="n">
        <v>49.99</v>
      </c>
      <c r="G11" t="n">
        <v>199.96</v>
      </c>
      <c r="H11" t="inlineStr">
        <is>
          <t>Month-to-Month</t>
        </is>
      </c>
      <c r="I11" t="n">
        <v>4</v>
      </c>
      <c r="J11" t="inlineStr">
        <is>
          <t>UPI</t>
        </is>
      </c>
      <c r="K11" t="inlineStr">
        <is>
          <t>Yes</t>
        </is>
      </c>
      <c r="L11" t="n">
        <v>49.99</v>
      </c>
      <c r="M11" t="inlineStr">
        <is>
          <t>0-6 months</t>
        </is>
      </c>
      <c r="N11" t="n">
        <v>75</v>
      </c>
      <c r="O11" t="inlineStr">
        <is>
          <t>High Risk</t>
        </is>
      </c>
    </row>
    <row r="12">
      <c r="A12" t="inlineStr">
        <is>
          <t>CUST-1011</t>
        </is>
      </c>
      <c r="B12" t="inlineStr">
        <is>
          <t>Female</t>
        </is>
      </c>
      <c r="C12" t="n">
        <v>49</v>
      </c>
      <c r="D12" t="n">
        <v>30</v>
      </c>
      <c r="E12" t="inlineStr">
        <is>
          <t>Enterprise</t>
        </is>
      </c>
      <c r="F12" t="n">
        <v>149.99</v>
      </c>
      <c r="G12" t="n">
        <v>4499.7</v>
      </c>
      <c r="H12" t="inlineStr">
        <is>
          <t>Two Year</t>
        </is>
      </c>
      <c r="I12" t="n">
        <v>0</v>
      </c>
      <c r="J12" t="inlineStr">
        <is>
          <t>Credit Card</t>
        </is>
      </c>
      <c r="K12" t="inlineStr">
        <is>
          <t>No</t>
        </is>
      </c>
      <c r="L12" t="n">
        <v>0</v>
      </c>
      <c r="M12" t="inlineStr">
        <is>
          <t>25+ months</t>
        </is>
      </c>
      <c r="N12" t="n">
        <v>15</v>
      </c>
      <c r="O12" t="inlineStr">
        <is>
          <t>Low Risk</t>
        </is>
      </c>
    </row>
    <row r="13">
      <c r="A13" t="inlineStr">
        <is>
          <t>CUST-1012</t>
        </is>
      </c>
      <c r="B13" t="inlineStr">
        <is>
          <t>Male</t>
        </is>
      </c>
      <c r="C13" t="n">
        <v>33</v>
      </c>
      <c r="D13" t="n">
        <v>14</v>
      </c>
      <c r="E13" t="inlineStr">
        <is>
          <t>Pro</t>
        </is>
      </c>
      <c r="F13" t="n">
        <v>79.98999999999999</v>
      </c>
      <c r="G13" t="n">
        <v>1119.86</v>
      </c>
      <c r="H13" t="inlineStr">
        <is>
          <t>Month-to-Month</t>
        </is>
      </c>
      <c r="I13" t="n">
        <v>3</v>
      </c>
      <c r="J13" t="inlineStr">
        <is>
          <t>Debit Card</t>
        </is>
      </c>
      <c r="K13" t="inlineStr">
        <is>
          <t>Yes</t>
        </is>
      </c>
      <c r="L13" t="n">
        <v>79.98999999999999</v>
      </c>
      <c r="M13" t="inlineStr">
        <is>
          <t>13-24 months</t>
        </is>
      </c>
      <c r="N13" t="n">
        <v>45</v>
      </c>
      <c r="O13" t="inlineStr">
        <is>
          <t>Medium Risk</t>
        </is>
      </c>
    </row>
    <row r="14">
      <c r="A14" t="inlineStr">
        <is>
          <t>CUST-1013</t>
        </is>
      </c>
      <c r="B14" t="inlineStr">
        <is>
          <t>Female</t>
        </is>
      </c>
      <c r="C14" t="n">
        <v>55</v>
      </c>
      <c r="D14" t="n">
        <v>22</v>
      </c>
      <c r="E14" t="inlineStr">
        <is>
          <t>Basic</t>
        </is>
      </c>
      <c r="F14" t="n">
        <v>49.99</v>
      </c>
      <c r="G14" t="n">
        <v>1099.78</v>
      </c>
      <c r="H14" t="inlineStr">
        <is>
          <t>One Year</t>
        </is>
      </c>
      <c r="I14" t="n">
        <v>1</v>
      </c>
      <c r="J14" t="inlineStr">
        <is>
          <t>Bank Transfer</t>
        </is>
      </c>
      <c r="K14" t="inlineStr">
        <is>
          <t>No</t>
        </is>
      </c>
      <c r="L14" t="n">
        <v>0</v>
      </c>
      <c r="M14" t="inlineStr">
        <is>
          <t>13-24 months</t>
        </is>
      </c>
      <c r="N14" t="n">
        <v>0</v>
      </c>
      <c r="O14" t="inlineStr">
        <is>
          <t>Low Risk</t>
        </is>
      </c>
    </row>
    <row r="15">
      <c r="A15" t="inlineStr">
        <is>
          <t>CUST-1014</t>
        </is>
      </c>
      <c r="B15" t="inlineStr">
        <is>
          <t>Male</t>
        </is>
      </c>
      <c r="C15" t="n">
        <v>26</v>
      </c>
      <c r="D15" t="n">
        <v>2</v>
      </c>
      <c r="E15" t="inlineStr">
        <is>
          <t>Basic</t>
        </is>
      </c>
      <c r="F15" t="n">
        <v>49.99</v>
      </c>
      <c r="G15" t="n">
        <v>99.98</v>
      </c>
      <c r="H15" t="inlineStr">
        <is>
          <t>Month-to-Month</t>
        </is>
      </c>
      <c r="I15" t="n">
        <v>5</v>
      </c>
      <c r="J15" t="inlineStr">
        <is>
          <t>UPI</t>
        </is>
      </c>
      <c r="K15" t="inlineStr">
        <is>
          <t>Yes</t>
        </is>
      </c>
      <c r="L15" t="n">
        <v>49.99</v>
      </c>
      <c r="M15" t="inlineStr">
        <is>
          <t>0-6 months</t>
        </is>
      </c>
      <c r="N15" t="n">
        <v>75</v>
      </c>
      <c r="O15" t="inlineStr">
        <is>
          <t>High Risk</t>
        </is>
      </c>
    </row>
    <row r="16">
      <c r="A16" t="inlineStr">
        <is>
          <t>CUST-1015</t>
        </is>
      </c>
      <c r="B16" t="inlineStr">
        <is>
          <t>Female</t>
        </is>
      </c>
      <c r="C16" t="n">
        <v>43</v>
      </c>
      <c r="D16" t="n">
        <v>40</v>
      </c>
      <c r="E16" t="inlineStr">
        <is>
          <t>Enterprise</t>
        </is>
      </c>
      <c r="F16" t="n">
        <v>149.99</v>
      </c>
      <c r="G16" t="n">
        <v>5999.6</v>
      </c>
      <c r="H16" t="inlineStr">
        <is>
          <t>Two Year</t>
        </is>
      </c>
      <c r="I16" t="n">
        <v>1</v>
      </c>
      <c r="J16" t="inlineStr">
        <is>
          <t>Credit Card</t>
        </is>
      </c>
      <c r="K16" t="inlineStr">
        <is>
          <t>No</t>
        </is>
      </c>
      <c r="L16" t="n">
        <v>0</v>
      </c>
      <c r="M16" t="inlineStr">
        <is>
          <t>25+ months</t>
        </is>
      </c>
      <c r="N16" t="n">
        <v>15</v>
      </c>
      <c r="O16" t="inlineStr">
        <is>
          <t>Low Risk</t>
        </is>
      </c>
    </row>
  </sheetData>
  <autoFilter ref="A1:O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t="inlineStr">
        <is>
          <t>Churn</t>
        </is>
      </c>
      <c r="B1" t="inlineStr">
        <is>
          <t>Customers</t>
        </is>
      </c>
      <c r="D1" t="inlineStr">
        <is>
          <t>Contract Type</t>
        </is>
      </c>
      <c r="E1" t="inlineStr">
        <is>
          <t>Churn Rate</t>
        </is>
      </c>
      <c r="G1" t="inlineStr">
        <is>
          <t>Risk Segment</t>
        </is>
      </c>
      <c r="H1" t="inlineStr">
        <is>
          <t>Customers</t>
        </is>
      </c>
    </row>
    <row r="2">
      <c r="A2" t="inlineStr">
        <is>
          <t>Yes</t>
        </is>
      </c>
      <c r="B2" t="n">
        <v>7</v>
      </c>
      <c r="D2" t="inlineStr">
        <is>
          <t>Month-to-Month</t>
        </is>
      </c>
      <c r="E2" t="n">
        <v>1</v>
      </c>
      <c r="G2" t="inlineStr">
        <is>
          <t>Low Risk</t>
        </is>
      </c>
      <c r="H2" t="n">
        <v>8</v>
      </c>
    </row>
    <row r="3">
      <c r="A3" t="inlineStr">
        <is>
          <t>No</t>
        </is>
      </c>
      <c r="B3" t="n">
        <v>8</v>
      </c>
      <c r="D3" t="inlineStr">
        <is>
          <t>One Year</t>
        </is>
      </c>
      <c r="E3" t="n">
        <v>0</v>
      </c>
      <c r="G3" t="inlineStr">
        <is>
          <t>Medium Risk</t>
        </is>
      </c>
      <c r="H3" t="n">
        <v>2</v>
      </c>
    </row>
    <row r="4">
      <c r="D4" t="inlineStr">
        <is>
          <t>Two Year</t>
        </is>
      </c>
      <c r="E4" t="n">
        <v>0</v>
      </c>
      <c r="G4" t="inlineStr">
        <is>
          <t>High Risk</t>
        </is>
      </c>
      <c r="H4"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6" t="inlineStr">
        <is>
          <t>CustomerID</t>
        </is>
      </c>
      <c r="B1" s="6" t="inlineStr">
        <is>
          <t>TenureMonths</t>
        </is>
      </c>
      <c r="C1" s="6" t="inlineStr">
        <is>
          <t>TenureBand</t>
        </is>
      </c>
      <c r="D1" s="6" t="inlineStr">
        <is>
          <t>ContractType</t>
        </is>
      </c>
      <c r="E1" s="6" t="inlineStr">
        <is>
          <t>MonthlyCharges</t>
        </is>
      </c>
      <c r="F1" s="6" t="inlineStr">
        <is>
          <t>SupportTickets</t>
        </is>
      </c>
      <c r="G1" s="6" t="inlineStr">
        <is>
          <t>PaymentMethod</t>
        </is>
      </c>
      <c r="H1" s="6" t="inlineStr">
        <is>
          <t>Churn</t>
        </is>
      </c>
      <c r="I1" s="6" t="inlineStr">
        <is>
          <t>RiskScore</t>
        </is>
      </c>
      <c r="J1" s="6" t="inlineStr">
        <is>
          <t>RiskSegment</t>
        </is>
      </c>
      <c r="L1" s="6" t="inlineStr">
        <is>
          <t>Scoring rule</t>
        </is>
      </c>
    </row>
    <row r="2">
      <c r="A2" t="inlineStr">
        <is>
          <t>CUST-1001</t>
        </is>
      </c>
      <c r="B2" t="n">
        <v>12</v>
      </c>
      <c r="C2" t="inlineStr">
        <is>
          <t>7-12 months</t>
        </is>
      </c>
      <c r="D2" t="inlineStr">
        <is>
          <t>Month-to-Month</t>
        </is>
      </c>
      <c r="E2" t="n">
        <v>49.99</v>
      </c>
      <c r="F2" t="n">
        <v>3</v>
      </c>
      <c r="G2" t="inlineStr">
        <is>
          <t>Credit Card</t>
        </is>
      </c>
      <c r="H2" t="inlineStr">
        <is>
          <t>Yes</t>
        </is>
      </c>
      <c r="I2" t="n">
        <v>50</v>
      </c>
      <c r="J2" t="inlineStr">
        <is>
          <t>Medium Risk</t>
        </is>
      </c>
      <c r="L2" t="inlineStr">
        <is>
          <t>Month-to-Month contract</t>
        </is>
      </c>
      <c r="M2" t="n">
        <v>25</v>
      </c>
    </row>
    <row r="3">
      <c r="A3" t="inlineStr">
        <is>
          <t>CUST-1002</t>
        </is>
      </c>
      <c r="B3" t="n">
        <v>24</v>
      </c>
      <c r="C3" t="inlineStr">
        <is>
          <t>13-24 months</t>
        </is>
      </c>
      <c r="D3" t="inlineStr">
        <is>
          <t>One Year</t>
        </is>
      </c>
      <c r="E3" t="n">
        <v>79.98999999999999</v>
      </c>
      <c r="F3" t="n">
        <v>1</v>
      </c>
      <c r="G3" t="inlineStr">
        <is>
          <t>Bank Transfer</t>
        </is>
      </c>
      <c r="H3" t="inlineStr">
        <is>
          <t>No</t>
        </is>
      </c>
      <c r="I3" t="n">
        <v>10</v>
      </c>
      <c r="J3" t="inlineStr">
        <is>
          <t>Low Risk</t>
        </is>
      </c>
      <c r="L3" t="inlineStr">
        <is>
          <t>Tenure &lt;= 6 months</t>
        </is>
      </c>
      <c r="M3" t="n">
        <v>25</v>
      </c>
    </row>
    <row r="4">
      <c r="A4" t="inlineStr">
        <is>
          <t>CUST-1003</t>
        </is>
      </c>
      <c r="B4" t="n">
        <v>6</v>
      </c>
      <c r="C4" t="inlineStr">
        <is>
          <t>0-6 months</t>
        </is>
      </c>
      <c r="D4" t="inlineStr">
        <is>
          <t>Month-to-Month</t>
        </is>
      </c>
      <c r="E4" t="n">
        <v>49.99</v>
      </c>
      <c r="F4" t="n">
        <v>5</v>
      </c>
      <c r="G4" t="inlineStr">
        <is>
          <t>UPI</t>
        </is>
      </c>
      <c r="H4" t="inlineStr">
        <is>
          <t>Yes</t>
        </is>
      </c>
      <c r="I4" t="n">
        <v>75</v>
      </c>
      <c r="J4" t="inlineStr">
        <is>
          <t>High Risk</t>
        </is>
      </c>
      <c r="L4" t="inlineStr">
        <is>
          <t>Tenure 7-12 months</t>
        </is>
      </c>
      <c r="M4" t="n">
        <v>15</v>
      </c>
    </row>
    <row r="5">
      <c r="A5" t="inlineStr">
        <is>
          <t>CUST-1004</t>
        </is>
      </c>
      <c r="B5" t="n">
        <v>36</v>
      </c>
      <c r="C5" t="inlineStr">
        <is>
          <t>25+ months</t>
        </is>
      </c>
      <c r="D5" t="inlineStr">
        <is>
          <t>Two Year</t>
        </is>
      </c>
      <c r="E5" t="n">
        <v>149.99</v>
      </c>
      <c r="F5" t="n">
        <v>0</v>
      </c>
      <c r="G5" t="inlineStr">
        <is>
          <t>Credit Card</t>
        </is>
      </c>
      <c r="H5" t="inlineStr">
        <is>
          <t>No</t>
        </is>
      </c>
      <c r="I5" t="n">
        <v>15</v>
      </c>
      <c r="J5" t="inlineStr">
        <is>
          <t>Low Risk</t>
        </is>
      </c>
      <c r="L5" t="inlineStr">
        <is>
          <t>Support tickets &gt;= 4</t>
        </is>
      </c>
      <c r="M5" t="n">
        <v>20</v>
      </c>
    </row>
    <row r="6">
      <c r="A6" t="inlineStr">
        <is>
          <t>CUST-1005</t>
        </is>
      </c>
      <c r="B6" t="n">
        <v>8</v>
      </c>
      <c r="C6" t="inlineStr">
        <is>
          <t>7-12 months</t>
        </is>
      </c>
      <c r="D6" t="inlineStr">
        <is>
          <t>Month-to-Month</t>
        </is>
      </c>
      <c r="E6" t="n">
        <v>79.98999999999999</v>
      </c>
      <c r="F6" t="n">
        <v>4</v>
      </c>
      <c r="G6" t="inlineStr">
        <is>
          <t>Debit Card</t>
        </is>
      </c>
      <c r="H6" t="inlineStr">
        <is>
          <t>Yes</t>
        </is>
      </c>
      <c r="I6" t="n">
        <v>70</v>
      </c>
      <c r="J6" t="inlineStr">
        <is>
          <t>High Risk</t>
        </is>
      </c>
      <c r="L6" t="inlineStr">
        <is>
          <t>Support tickets 2-3</t>
        </is>
      </c>
      <c r="M6" t="n">
        <v>10</v>
      </c>
    </row>
    <row r="7">
      <c r="A7" t="inlineStr">
        <is>
          <t>CUST-1006</t>
        </is>
      </c>
      <c r="B7" t="n">
        <v>18</v>
      </c>
      <c r="C7" t="inlineStr">
        <is>
          <t>13-24 months</t>
        </is>
      </c>
      <c r="D7" t="inlineStr">
        <is>
          <t>One Year</t>
        </is>
      </c>
      <c r="E7" t="n">
        <v>49.99</v>
      </c>
      <c r="F7" t="n">
        <v>2</v>
      </c>
      <c r="G7" t="inlineStr">
        <is>
          <t>UPI</t>
        </is>
      </c>
      <c r="H7" t="inlineStr">
        <is>
          <t>No</t>
        </is>
      </c>
      <c r="I7" t="n">
        <v>15</v>
      </c>
      <c r="J7" t="inlineStr">
        <is>
          <t>Low Risk</t>
        </is>
      </c>
      <c r="L7" t="inlineStr">
        <is>
          <t>Monthly charges &gt;= 100</t>
        </is>
      </c>
      <c r="M7" t="n">
        <v>15</v>
      </c>
    </row>
    <row r="8">
      <c r="A8" t="inlineStr">
        <is>
          <t>CUST-1007</t>
        </is>
      </c>
      <c r="B8" t="n">
        <v>3</v>
      </c>
      <c r="C8" t="inlineStr">
        <is>
          <t>0-6 months</t>
        </is>
      </c>
      <c r="D8" t="inlineStr">
        <is>
          <t>Month-to-Month</t>
        </is>
      </c>
      <c r="E8" t="n">
        <v>49.99</v>
      </c>
      <c r="F8" t="n">
        <v>6</v>
      </c>
      <c r="G8" t="inlineStr">
        <is>
          <t>Credit Card</t>
        </is>
      </c>
      <c r="H8" t="inlineStr">
        <is>
          <t>Yes</t>
        </is>
      </c>
      <c r="I8" t="n">
        <v>70</v>
      </c>
      <c r="J8" t="inlineStr">
        <is>
          <t>High Risk</t>
        </is>
      </c>
      <c r="L8" t="inlineStr">
        <is>
          <t>Monthly charges 70-99.99</t>
        </is>
      </c>
      <c r="M8" t="n">
        <v>10</v>
      </c>
    </row>
    <row r="9">
      <c r="A9" t="inlineStr">
        <is>
          <t>CUST-1008</t>
        </is>
      </c>
      <c r="B9" t="n">
        <v>48</v>
      </c>
      <c r="C9" t="inlineStr">
        <is>
          <t>25+ months</t>
        </is>
      </c>
      <c r="D9" t="inlineStr">
        <is>
          <t>Two Year</t>
        </is>
      </c>
      <c r="E9" t="n">
        <v>149.99</v>
      </c>
      <c r="F9" t="n">
        <v>1</v>
      </c>
      <c r="G9" t="inlineStr">
        <is>
          <t>Bank Transfer</t>
        </is>
      </c>
      <c r="H9" t="inlineStr">
        <is>
          <t>No</t>
        </is>
      </c>
      <c r="I9" t="n">
        <v>15</v>
      </c>
      <c r="J9" t="inlineStr">
        <is>
          <t>Low Risk</t>
        </is>
      </c>
      <c r="L9" t="inlineStr">
        <is>
          <t>UPI payment</t>
        </is>
      </c>
      <c r="M9" t="n">
        <v>5</v>
      </c>
    </row>
    <row r="10">
      <c r="A10" t="inlineStr">
        <is>
          <t>CUST-1009</t>
        </is>
      </c>
      <c r="B10" t="n">
        <v>15</v>
      </c>
      <c r="C10" t="inlineStr">
        <is>
          <t>13-24 months</t>
        </is>
      </c>
      <c r="D10" t="inlineStr">
        <is>
          <t>One Year</t>
        </is>
      </c>
      <c r="E10" t="n">
        <v>79.98999999999999</v>
      </c>
      <c r="F10" t="n">
        <v>2</v>
      </c>
      <c r="G10" t="inlineStr">
        <is>
          <t>Credit Card</t>
        </is>
      </c>
      <c r="H10" t="inlineStr">
        <is>
          <t>No</t>
        </is>
      </c>
      <c r="I10" t="n">
        <v>20</v>
      </c>
      <c r="J10" t="inlineStr">
        <is>
          <t>Low Risk</t>
        </is>
      </c>
    </row>
    <row r="11">
      <c r="A11" t="inlineStr">
        <is>
          <t>CUST-1010</t>
        </is>
      </c>
      <c r="B11" t="n">
        <v>4</v>
      </c>
      <c r="C11" t="inlineStr">
        <is>
          <t>0-6 months</t>
        </is>
      </c>
      <c r="D11" t="inlineStr">
        <is>
          <t>Month-to-Month</t>
        </is>
      </c>
      <c r="E11" t="n">
        <v>49.99</v>
      </c>
      <c r="F11" t="n">
        <v>4</v>
      </c>
      <c r="G11" t="inlineStr">
        <is>
          <t>UPI</t>
        </is>
      </c>
      <c r="H11" t="inlineStr">
        <is>
          <t>Yes</t>
        </is>
      </c>
      <c r="I11" t="n">
        <v>75</v>
      </c>
      <c r="J11" t="inlineStr">
        <is>
          <t>High Risk</t>
        </is>
      </c>
    </row>
    <row r="12">
      <c r="A12" t="inlineStr">
        <is>
          <t>CUST-1011</t>
        </is>
      </c>
      <c r="B12" t="n">
        <v>30</v>
      </c>
      <c r="C12" t="inlineStr">
        <is>
          <t>25+ months</t>
        </is>
      </c>
      <c r="D12" t="inlineStr">
        <is>
          <t>Two Year</t>
        </is>
      </c>
      <c r="E12" t="n">
        <v>149.99</v>
      </c>
      <c r="F12" t="n">
        <v>0</v>
      </c>
      <c r="G12" t="inlineStr">
        <is>
          <t>Credit Card</t>
        </is>
      </c>
      <c r="H12" t="inlineStr">
        <is>
          <t>No</t>
        </is>
      </c>
      <c r="I12" t="n">
        <v>15</v>
      </c>
      <c r="J12" t="inlineStr">
        <is>
          <t>Low Risk</t>
        </is>
      </c>
    </row>
    <row r="13">
      <c r="A13" t="inlineStr">
        <is>
          <t>CUST-1012</t>
        </is>
      </c>
      <c r="B13" t="n">
        <v>14</v>
      </c>
      <c r="C13" t="inlineStr">
        <is>
          <t>13-24 months</t>
        </is>
      </c>
      <c r="D13" t="inlineStr">
        <is>
          <t>Month-to-Month</t>
        </is>
      </c>
      <c r="E13" t="n">
        <v>79.98999999999999</v>
      </c>
      <c r="F13" t="n">
        <v>3</v>
      </c>
      <c r="G13" t="inlineStr">
        <is>
          <t>Debit Card</t>
        </is>
      </c>
      <c r="H13" t="inlineStr">
        <is>
          <t>Yes</t>
        </is>
      </c>
      <c r="I13" t="n">
        <v>45</v>
      </c>
      <c r="J13" t="inlineStr">
        <is>
          <t>Medium Risk</t>
        </is>
      </c>
    </row>
    <row r="14">
      <c r="A14" t="inlineStr">
        <is>
          <t>CUST-1013</t>
        </is>
      </c>
      <c r="B14" t="n">
        <v>22</v>
      </c>
      <c r="C14" t="inlineStr">
        <is>
          <t>13-24 months</t>
        </is>
      </c>
      <c r="D14" t="inlineStr">
        <is>
          <t>One Year</t>
        </is>
      </c>
      <c r="E14" t="n">
        <v>49.99</v>
      </c>
      <c r="F14" t="n">
        <v>1</v>
      </c>
      <c r="G14" t="inlineStr">
        <is>
          <t>Bank Transfer</t>
        </is>
      </c>
      <c r="H14" t="inlineStr">
        <is>
          <t>No</t>
        </is>
      </c>
      <c r="I14" t="n">
        <v>0</v>
      </c>
      <c r="J14" t="inlineStr">
        <is>
          <t>Low Risk</t>
        </is>
      </c>
    </row>
    <row r="15">
      <c r="A15" t="inlineStr">
        <is>
          <t>CUST-1014</t>
        </is>
      </c>
      <c r="B15" t="n">
        <v>2</v>
      </c>
      <c r="C15" t="inlineStr">
        <is>
          <t>0-6 months</t>
        </is>
      </c>
      <c r="D15" t="inlineStr">
        <is>
          <t>Month-to-Month</t>
        </is>
      </c>
      <c r="E15" t="n">
        <v>49.99</v>
      </c>
      <c r="F15" t="n">
        <v>5</v>
      </c>
      <c r="G15" t="inlineStr">
        <is>
          <t>UPI</t>
        </is>
      </c>
      <c r="H15" t="inlineStr">
        <is>
          <t>Yes</t>
        </is>
      </c>
      <c r="I15" t="n">
        <v>75</v>
      </c>
      <c r="J15" t="inlineStr">
        <is>
          <t>High Risk</t>
        </is>
      </c>
    </row>
    <row r="16">
      <c r="A16" t="inlineStr">
        <is>
          <t>CUST-1015</t>
        </is>
      </c>
      <c r="B16" t="n">
        <v>40</v>
      </c>
      <c r="C16" t="inlineStr">
        <is>
          <t>25+ months</t>
        </is>
      </c>
      <c r="D16" t="inlineStr">
        <is>
          <t>Two Year</t>
        </is>
      </c>
      <c r="E16" t="n">
        <v>149.99</v>
      </c>
      <c r="F16" t="n">
        <v>1</v>
      </c>
      <c r="G16" t="inlineStr">
        <is>
          <t>Credit Card</t>
        </is>
      </c>
      <c r="H16" t="inlineStr">
        <is>
          <t>No</t>
        </is>
      </c>
      <c r="I16" t="n">
        <v>15</v>
      </c>
      <c r="J16" t="inlineStr">
        <is>
          <t>Low Risk</t>
        </is>
      </c>
    </row>
  </sheetData>
  <autoFilter ref="A1:J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4" customWidth="1" min="1" max="1"/>
    <col width="70" customWidth="1" min="2" max="2"/>
    <col width="60" customWidth="1" min="3" max="3"/>
    <col width="18" customWidth="1" min="4" max="4"/>
    <col width="18" customWidth="1" min="5" max="5"/>
    <col width="18" customWidth="1" min="6" max="6"/>
    <col width="18" customWidth="1" min="7" max="7"/>
    <col width="18" customWidth="1" min="8" max="8"/>
  </cols>
  <sheetData>
    <row r="1">
      <c r="A1" s="12" t="inlineStr">
        <is>
          <t>Customer Churn — Segmentation &amp; Recommendation Memo</t>
        </is>
      </c>
    </row>
    <row r="3">
      <c r="A3" s="4" t="inlineStr">
        <is>
          <t>Decision context</t>
        </is>
      </c>
      <c r="B3" s="11" t="inlineStr">
        <is>
          <t>Prioritize customer-review effort using a transparent rule-based score. The score is a prioritization heuristic, not a probability of churn.</t>
        </is>
      </c>
    </row>
    <row r="4"/>
    <row r="6">
      <c r="A6" s="6" t="inlineStr">
        <is>
          <t>Segment</t>
        </is>
      </c>
      <c r="B6" s="6" t="inlineStr">
        <is>
          <t>Rule</t>
        </is>
      </c>
      <c r="C6" s="6" t="inlineStr">
        <is>
          <t>Recommended action</t>
        </is>
      </c>
    </row>
    <row r="7">
      <c r="A7" s="11" t="inlineStr">
        <is>
          <t>High Risk</t>
        </is>
      </c>
      <c r="B7" s="11" t="inlineStr">
        <is>
          <t>Score 60+</t>
        </is>
      </c>
      <c r="C7" s="11" t="inlineStr">
        <is>
          <t>Review soon; investigate contract, tenure, support issues and offer targeted retention outreach.</t>
        </is>
      </c>
    </row>
    <row r="8">
      <c r="A8" s="11" t="inlineStr">
        <is>
          <t>Medium Risk</t>
        </is>
      </c>
      <c r="B8" s="11" t="inlineStr">
        <is>
          <t>Score 35-59</t>
        </is>
      </c>
      <c r="C8" s="11" t="inlineStr">
        <is>
          <t>Monitor engagement and support history; test proactive service follow-up.</t>
        </is>
      </c>
    </row>
    <row r="9">
      <c r="A9" s="11" t="inlineStr">
        <is>
          <t>Low Risk</t>
        </is>
      </c>
      <c r="B9" s="11" t="inlineStr">
        <is>
          <t>Score &lt;35</t>
        </is>
      </c>
      <c r="C9" s="11" t="inlineStr">
        <is>
          <t>Maintain service quality; use as a stable comparison group.</t>
        </is>
      </c>
    </row>
    <row r="12">
      <c r="A12" s="4" t="inlineStr">
        <is>
          <t>Limitations</t>
        </is>
      </c>
      <c r="B12" s="11" t="inlineStr">
        <is>
          <t>Only 15 synthetic records are available. The rule weights are transparent assumptions for prioritization and are not statistically trained or calibrated. More historical data and outcome validation would be required before operational use.</t>
        </is>
      </c>
    </row>
    <row r="13"/>
    <row r="14"/>
  </sheetData>
  <mergeCells count="3">
    <mergeCell ref="B12:H14"/>
    <mergeCell ref="B3:H4"/>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2026-09-20T07:18:12Z</dcterms:created>
  <dcterms:modified xmlns:dcterms="http://purl.org/dc/terms/" xmlns:xsi="http://www.w3.org/2001/XMLSchema-instance" xsi:type="dcterms:W3CDTF">2026-09-20T07:18:12Z</dcterms:modified>
</cp:coreProperties>
</file>